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SHIYAM\clg\intern\foretech\"/>
    </mc:Choice>
  </mc:AlternateContent>
  <xr:revisionPtr revIDLastSave="0" documentId="8_{682DD1EF-3709-4D21-89B9-E284B4E1BD28}" xr6:coauthVersionLast="47" xr6:coauthVersionMax="47" xr10:uidLastSave="{00000000-0000-0000-0000-000000000000}"/>
  <bookViews>
    <workbookView xWindow="-108" yWindow="-108" windowWidth="23256" windowHeight="12456" activeTab="1" xr2:uid="{45C287EC-46E7-4F1E-83F0-D6738A716174}"/>
  </bookViews>
  <sheets>
    <sheet name="lOOP IMP" sheetId="3" r:id="rId1"/>
    <sheet name="RCB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F47" i="3"/>
  <c r="G47" i="3" s="1"/>
  <c r="F46" i="3"/>
  <c r="G46" i="3" s="1"/>
  <c r="F45" i="3"/>
  <c r="G45" i="3" s="1"/>
  <c r="F44" i="3"/>
  <c r="G44" i="3" s="1"/>
  <c r="F42" i="3"/>
  <c r="G42" i="3" s="1"/>
  <c r="F41" i="3"/>
  <c r="G41" i="3" s="1"/>
  <c r="F40" i="3"/>
  <c r="G40" i="3" s="1"/>
  <c r="F39" i="3"/>
  <c r="G39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0" i="3"/>
  <c r="G30" i="3" s="1"/>
  <c r="F29" i="3"/>
  <c r="G29" i="3" s="1"/>
  <c r="F27" i="3"/>
  <c r="G27" i="3" s="1"/>
  <c r="F26" i="3"/>
  <c r="G26" i="3" s="1"/>
  <c r="F25" i="3"/>
  <c r="G25" i="3" s="1"/>
  <c r="F24" i="3"/>
  <c r="G24" i="3" s="1"/>
  <c r="F22" i="3"/>
  <c r="G22" i="3" s="1"/>
  <c r="F21" i="3"/>
  <c r="G21" i="3" s="1"/>
  <c r="F20" i="3"/>
  <c r="G20" i="3" s="1"/>
  <c r="F18" i="3"/>
  <c r="G18" i="3" s="1"/>
  <c r="F17" i="3"/>
  <c r="G17" i="3" s="1"/>
  <c r="F16" i="3"/>
  <c r="G16" i="3" s="1"/>
  <c r="F15" i="3"/>
  <c r="G15" i="3" s="1"/>
  <c r="F13" i="3"/>
  <c r="G13" i="3" s="1"/>
  <c r="F12" i="3"/>
  <c r="G12" i="3" s="1"/>
  <c r="F11" i="3"/>
  <c r="G11" i="3" s="1"/>
  <c r="F9" i="3"/>
  <c r="G9" i="3" s="1"/>
  <c r="F8" i="3"/>
  <c r="G8" i="3" s="1"/>
  <c r="F6" i="3"/>
  <c r="G6" i="3" s="1"/>
  <c r="F5" i="3"/>
  <c r="G5" i="3" s="1"/>
  <c r="F4" i="3"/>
  <c r="G4" i="3" s="1"/>
</calcChain>
</file>

<file path=xl/sharedStrings.xml><?xml version="1.0" encoding="utf-8"?>
<sst xmlns="http://schemas.openxmlformats.org/spreadsheetml/2006/main" count="362" uniqueCount="144">
  <si>
    <t>Location</t>
  </si>
  <si>
    <t>Type</t>
  </si>
  <si>
    <t>Imp (Z)</t>
  </si>
  <si>
    <t>Z_Allowed</t>
  </si>
  <si>
    <t>C</t>
  </si>
  <si>
    <t>PASS</t>
  </si>
  <si>
    <t>FAIL</t>
  </si>
  <si>
    <t xml:space="preserve">     SWITCH 20</t>
  </si>
  <si>
    <t xml:space="preserve">     EQDB-01B-L1-B</t>
  </si>
  <si>
    <t xml:space="preserve">    SWITCH 25(VCB ROOM)</t>
  </si>
  <si>
    <t xml:space="preserve">     LDB-01A-L1</t>
  </si>
  <si>
    <t xml:space="preserve">    LDB-02A-L1</t>
  </si>
  <si>
    <t xml:space="preserve">    EQDB-02C-L1</t>
  </si>
  <si>
    <t xml:space="preserve">    EQDB-02D-L2</t>
  </si>
  <si>
    <t xml:space="preserve">    LDB-02A-L2</t>
  </si>
  <si>
    <t>NO</t>
  </si>
  <si>
    <t>YES</t>
  </si>
  <si>
    <t xml:space="preserve">    LDB-01A-L2</t>
  </si>
  <si>
    <t xml:space="preserve">    EQDB-01A-L2</t>
  </si>
  <si>
    <t xml:space="preserve">    EQDB-02B-GF</t>
  </si>
  <si>
    <t xml:space="preserve">    LDB-02A-GF</t>
  </si>
  <si>
    <t xml:space="preserve">    LDB-01A-GF</t>
  </si>
  <si>
    <t xml:space="preserve">    EQDB-01A-GF</t>
  </si>
  <si>
    <t xml:space="preserve">   LDB-02A-L3</t>
  </si>
  <si>
    <t xml:space="preserve">   LDB-01A-L3</t>
  </si>
  <si>
    <t xml:space="preserve">   LDB-01A-L4</t>
  </si>
  <si>
    <t xml:space="preserve">   LDB-02A-L4</t>
  </si>
  <si>
    <t xml:space="preserve">   EQDB-02A-L4</t>
  </si>
  <si>
    <t xml:space="preserve">   FED from EQDB-02D-L4-R1 (SOCKET)</t>
  </si>
  <si>
    <t xml:space="preserve">   FED from EQDB-02D-L4-Y5 (SOCKET)</t>
  </si>
  <si>
    <t xml:space="preserve">   FED from EQDB-01B-L4-B5(SOCKET)</t>
  </si>
  <si>
    <t xml:space="preserve">    FED from EQDB-01D-Y2</t>
  </si>
  <si>
    <t xml:space="preserve">   LDB-02A-L5</t>
  </si>
  <si>
    <t xml:space="preserve">   EQDB-01B-L5</t>
  </si>
  <si>
    <t xml:space="preserve">    SOCKET NEAR TABLE</t>
  </si>
  <si>
    <t xml:space="preserve">     LDB-01-B1</t>
  </si>
  <si>
    <t xml:space="preserve">     LDB-02-B1</t>
  </si>
  <si>
    <t xml:space="preserve">      EQDB-01-B1-R3 (SOCKET)</t>
  </si>
  <si>
    <t>Dest Point</t>
  </si>
  <si>
    <t>Results</t>
  </si>
  <si>
    <t>LDB-02-B2</t>
  </si>
  <si>
    <t>LDB-01-B2</t>
  </si>
  <si>
    <t xml:space="preserve">    SOCKET NEAR DRINKING WATER</t>
  </si>
  <si>
    <t xml:space="preserve">   LED Drive panel,RIGHT SIDE</t>
  </si>
  <si>
    <t xml:space="preserve">   LED Drive panel,LEFT SIDE</t>
  </si>
  <si>
    <t>Current(A)</t>
  </si>
  <si>
    <t>Remarks(NOISE)</t>
  </si>
  <si>
    <t>ii. VCB ROOM socket</t>
  </si>
  <si>
    <t xml:space="preserve">i .POWER HOUSE socket </t>
  </si>
  <si>
    <t xml:space="preserve">iii. STREET LIGHT </t>
  </si>
  <si>
    <t>i.B2 NEAR STAIRCASE, SOUTH</t>
  </si>
  <si>
    <t>ii.B2 AT WAY OUT NEAR CAMERA, NORTH</t>
  </si>
  <si>
    <t>i. B1 NEAR ELECTRICAL ROOM,NORTH</t>
  </si>
  <si>
    <t>ii. B1 NEAR ELECTRICAL ROOM,SOUTH</t>
  </si>
  <si>
    <t>iii.B1 AT DRINKING WAITER</t>
  </si>
  <si>
    <t>i. NEAR STAIRCASE</t>
  </si>
  <si>
    <t>ii. NEAR RECEPTION 00</t>
  </si>
  <si>
    <t>iii. NEAR RADIOLOGY 00</t>
  </si>
  <si>
    <t>iv. NEAR ICT ROOM B026</t>
  </si>
  <si>
    <t>i.OT-COMPLEX</t>
  </si>
  <si>
    <t>ii. URGENT CARE,NEAR WAITING AREA 01</t>
  </si>
  <si>
    <t>iii. URGENT CARE,NEAR STAIRCASE</t>
  </si>
  <si>
    <t>i.CARDIOLOGY</t>
  </si>
  <si>
    <t>ii.NEAR WAITINGAREA02</t>
  </si>
  <si>
    <t>iii. INSIDE WAITINGAREA02</t>
  </si>
  <si>
    <t>iv. NEAR EMEGERNCY EXIT</t>
  </si>
  <si>
    <t>i. NEAR WAITING AREA 03</t>
  </si>
  <si>
    <t>ii. NEAR GERIATRICS</t>
  </si>
  <si>
    <t>i.NEAR MASTER CHECKUP</t>
  </si>
  <si>
    <t>ii. NEAR EMR/MRD 4A4</t>
  </si>
  <si>
    <t xml:space="preserve">iii.NEAR PAEDIATRICS </t>
  </si>
  <si>
    <t>iv.OPPOSITE TO STAFF STATION</t>
  </si>
  <si>
    <t>v.INSIDE PAEDIATRICS,DRINKING WATER</t>
  </si>
  <si>
    <t>vi. INSIDE KAAPPI 2.0</t>
  </si>
  <si>
    <t>i. ANANDHASS,DRINKING WATER</t>
  </si>
  <si>
    <t>ii. NEAR ADMINISTRATION 05</t>
  </si>
  <si>
    <t>iii.NEAR VIP DININGAREA B508</t>
  </si>
  <si>
    <t>iv. OPPOSITE HOUSE KEEPING B510</t>
  </si>
  <si>
    <t>i. INSIDE STAFF DINING</t>
  </si>
  <si>
    <t>ii. INSIDE STAFF DINING</t>
  </si>
  <si>
    <t>iii. BACKYARD LIGHT</t>
  </si>
  <si>
    <t>iv.BACKYARD LIGHT</t>
  </si>
  <si>
    <t xml:space="preserve">                          1.     Power House&amp;VCB room</t>
  </si>
  <si>
    <t xml:space="preserve">                          2 .   BASEMENT-2</t>
  </si>
  <si>
    <t xml:space="preserve">                          3.  BASEMENT-1</t>
  </si>
  <si>
    <t xml:space="preserve">                               4. GROUND FLOOR</t>
  </si>
  <si>
    <t xml:space="preserve">                      5.  1st FLOOR</t>
  </si>
  <si>
    <t xml:space="preserve">                       6.    2nd FLOOR</t>
  </si>
  <si>
    <t xml:space="preserve">                        7.   3RD FLOOR</t>
  </si>
  <si>
    <t xml:space="preserve">                        8.   4TH FLOOR</t>
  </si>
  <si>
    <t xml:space="preserve">                         9.   5TH FLOOR</t>
  </si>
  <si>
    <t xml:space="preserve">                        10.   TERRACE</t>
  </si>
  <si>
    <t xml:space="preserve">   LDB-01A-L5</t>
  </si>
  <si>
    <t>sl.no</t>
  </si>
  <si>
    <t>LOACTION</t>
  </si>
  <si>
    <t>RCBO RATING</t>
  </si>
  <si>
    <t>R-PHASE</t>
  </si>
  <si>
    <t>Y-PHASE</t>
  </si>
  <si>
    <t>B-PHASE</t>
  </si>
  <si>
    <t>DB</t>
  </si>
  <si>
    <t>TIME(ms)</t>
  </si>
  <si>
    <t>STATUS</t>
  </si>
  <si>
    <t>BASEMENT-2</t>
  </si>
  <si>
    <t>B2 NEAR STAIRCASE, SOUTH</t>
  </si>
  <si>
    <t>C25</t>
  </si>
  <si>
    <t>TRIP</t>
  </si>
  <si>
    <t>B2 AT WAY OUT NEAR CAMERA, NORTH</t>
  </si>
  <si>
    <t xml:space="preserve"> BASEMENT-1</t>
  </si>
  <si>
    <t>B1 NEAR ELECTRICAL ROOM,NORTH</t>
  </si>
  <si>
    <t>B1 NEAR ELECTRICAL ROOM,SOUTH</t>
  </si>
  <si>
    <t>GROUND</t>
  </si>
  <si>
    <t>NEAR STAIRCASE</t>
  </si>
  <si>
    <t>C40</t>
  </si>
  <si>
    <t>NEAR RECEPTION 00</t>
  </si>
  <si>
    <t>NEAR RADIOLOGY 00</t>
  </si>
  <si>
    <t>NEAR ICT ROOM B026</t>
  </si>
  <si>
    <t>1ST FLOOR</t>
  </si>
  <si>
    <t>OT-COMPLEX</t>
  </si>
  <si>
    <t>URGENT CARE,NEAR STAIRCASE</t>
  </si>
  <si>
    <t>2ND FLOOR</t>
  </si>
  <si>
    <t>CARDIOLOGY</t>
  </si>
  <si>
    <t>&gt;550</t>
  </si>
  <si>
    <t>NO TRIP</t>
  </si>
  <si>
    <t>NEAR EMEGERNCY EXIT</t>
  </si>
  <si>
    <t>3RD FLOOR</t>
  </si>
  <si>
    <t>NEAR GERIATRICS</t>
  </si>
  <si>
    <t>4TH FLOOR</t>
  </si>
  <si>
    <t>NEAR MASTER CHECKUP</t>
  </si>
  <si>
    <t xml:space="preserve">NEAR PAEDIATRICS </t>
  </si>
  <si>
    <t>5TH FLOOR</t>
  </si>
  <si>
    <t>OVERLOAD
 CURVE</t>
  </si>
  <si>
    <t>RESIDUAL 
CURRENT(ma)</t>
  </si>
  <si>
    <t>Multiplying 
factor</t>
  </si>
  <si>
    <t>Z- Measured
 output</t>
  </si>
  <si>
    <r>
      <t xml:space="preserve">                                                                                                                                                           </t>
    </r>
    <r>
      <rPr>
        <sz val="11"/>
        <color theme="3" tint="0.499984740745262"/>
        <rFont val="Calibri"/>
        <family val="2"/>
      </rPr>
      <t xml:space="preserve"> Earth Fault Loop Impedance Test</t>
    </r>
  </si>
  <si>
    <t>RCD TEST FOR THREE PHASE</t>
  </si>
  <si>
    <t>URGENT CARE,NEAR WAITING AREA-01</t>
  </si>
  <si>
    <t>NEAR WAITINGAREA-02</t>
  </si>
  <si>
    <t>INSIDE WAITINGAREA-02</t>
  </si>
  <si>
    <t>NEAR WAITING AREA-03</t>
  </si>
  <si>
    <t>NEAR EMR/MRD 4-A4</t>
  </si>
  <si>
    <t>NEAR ADMINISTRATION-05</t>
  </si>
  <si>
    <t>NEAR VIP DININGAREA-B508</t>
  </si>
  <si>
    <t>OPPOSITE HOUSE KEEPING-B510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</si>
</sst>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3" tint="0.499984740745262"/>
      <name val="Calibri"/>
      <family val="2"/>
    </font>
    <font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0" borderId="1" xfId="0" applyFont="1" applyBorder="1"/>
    <xf numFmtId="0" fontId="1" fillId="3" borderId="3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719F-055F-43C3-BC32-AC5B0A4EFED0}">
  <dimension ref="A1:J47"/>
  <sheetViews>
    <sheetView workbookViewId="0">
      <selection activeCell="I4" sqref="I4"/>
    </sheetView>
  </sheetViews>
  <sheetFormatPr defaultRowHeight="14.4" x14ac:dyDescent="0.3"/>
  <cols>
    <col min="1" max="1" width="37.6640625" customWidth="1"/>
    <col min="2" max="2" width="34.33203125" customWidth="1"/>
    <col min="4" max="4" width="11" customWidth="1"/>
    <col min="5" max="5" width="13.33203125" customWidth="1"/>
    <col min="7" max="7" width="11.44140625" customWidth="1"/>
    <col min="8" max="8" width="12.33203125" customWidth="1"/>
    <col min="10" max="10" width="15.33203125" customWidth="1"/>
  </cols>
  <sheetData>
    <row r="1" spans="1:10" x14ac:dyDescent="0.3">
      <c r="A1" s="19" t="s">
        <v>134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.8" x14ac:dyDescent="0.3">
      <c r="A2" s="15" t="s">
        <v>0</v>
      </c>
      <c r="B2" s="11" t="s">
        <v>38</v>
      </c>
      <c r="C2" s="11" t="s">
        <v>1</v>
      </c>
      <c r="D2" s="11" t="s">
        <v>45</v>
      </c>
      <c r="E2" s="14" t="s">
        <v>132</v>
      </c>
      <c r="F2" s="11" t="s">
        <v>2</v>
      </c>
      <c r="G2" s="11" t="s">
        <v>3</v>
      </c>
      <c r="H2" s="14" t="s">
        <v>133</v>
      </c>
      <c r="I2" s="11" t="s">
        <v>39</v>
      </c>
      <c r="J2" s="11" t="s">
        <v>46</v>
      </c>
    </row>
    <row r="3" spans="1:10" x14ac:dyDescent="0.3">
      <c r="A3" s="17" t="s">
        <v>82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6" t="s">
        <v>48</v>
      </c>
      <c r="B4" s="12" t="s">
        <v>8</v>
      </c>
      <c r="C4" s="12" t="s">
        <v>4</v>
      </c>
      <c r="D4" s="12">
        <v>16</v>
      </c>
      <c r="E4" s="12">
        <v>10</v>
      </c>
      <c r="F4" s="12">
        <f>ROUND(230/(D4*E4),3)</f>
        <v>1.4379999999999999</v>
      </c>
      <c r="G4" s="12">
        <f>ROUND(F4*(2/3),3)</f>
        <v>0.95899999999999996</v>
      </c>
      <c r="H4" s="12">
        <v>0.76</v>
      </c>
      <c r="I4" s="12" t="s">
        <v>5</v>
      </c>
      <c r="J4" s="12" t="s">
        <v>15</v>
      </c>
    </row>
    <row r="5" spans="1:10" x14ac:dyDescent="0.3">
      <c r="A5" s="16" t="s">
        <v>47</v>
      </c>
      <c r="B5" s="12" t="s">
        <v>7</v>
      </c>
      <c r="C5" s="12" t="s">
        <v>4</v>
      </c>
      <c r="D5" s="12">
        <v>32</v>
      </c>
      <c r="E5" s="12">
        <v>10</v>
      </c>
      <c r="F5" s="12">
        <f t="shared" ref="F5:F6" si="0">ROUND(230/(D5*E5),3)</f>
        <v>0.71899999999999997</v>
      </c>
      <c r="G5" s="12">
        <f t="shared" ref="G5:G6" si="1">ROUND(F5*(2/3),3)</f>
        <v>0.47899999999999998</v>
      </c>
      <c r="H5" s="12">
        <v>0.8</v>
      </c>
      <c r="I5" s="13" t="s">
        <v>6</v>
      </c>
      <c r="J5" s="12" t="s">
        <v>15</v>
      </c>
    </row>
    <row r="6" spans="1:10" x14ac:dyDescent="0.3">
      <c r="A6" s="16" t="s">
        <v>49</v>
      </c>
      <c r="B6" s="12" t="s">
        <v>9</v>
      </c>
      <c r="C6" s="12" t="s">
        <v>4</v>
      </c>
      <c r="D6" s="12">
        <v>20</v>
      </c>
      <c r="E6" s="12">
        <v>10</v>
      </c>
      <c r="F6" s="12">
        <f t="shared" si="0"/>
        <v>1.1499999999999999</v>
      </c>
      <c r="G6" s="12">
        <f t="shared" si="1"/>
        <v>0.76700000000000002</v>
      </c>
      <c r="H6" s="12">
        <v>0.59</v>
      </c>
      <c r="I6" s="12" t="s">
        <v>5</v>
      </c>
      <c r="J6" s="12" t="s">
        <v>15</v>
      </c>
    </row>
    <row r="7" spans="1:10" x14ac:dyDescent="0.3">
      <c r="A7" s="20" t="s">
        <v>83</v>
      </c>
      <c r="B7" s="21"/>
      <c r="C7" s="21"/>
      <c r="D7" s="21"/>
      <c r="E7" s="21"/>
      <c r="F7" s="21"/>
      <c r="G7" s="21"/>
      <c r="H7" s="21"/>
      <c r="I7" s="21"/>
      <c r="J7" s="21"/>
    </row>
    <row r="8" spans="1:10" x14ac:dyDescent="0.3">
      <c r="A8" s="16" t="s">
        <v>50</v>
      </c>
      <c r="B8" s="12" t="s">
        <v>40</v>
      </c>
      <c r="C8" s="12" t="s">
        <v>4</v>
      </c>
      <c r="D8" s="12">
        <v>6</v>
      </c>
      <c r="E8" s="12">
        <v>10</v>
      </c>
      <c r="F8" s="12">
        <f>ROUND(230/(D8*E8),3)</f>
        <v>3.8330000000000002</v>
      </c>
      <c r="G8" s="12">
        <f>ROUND(F8*(2/3),3)</f>
        <v>2.5550000000000002</v>
      </c>
      <c r="H8" s="12">
        <v>0.43</v>
      </c>
      <c r="I8" s="12" t="s">
        <v>5</v>
      </c>
      <c r="J8" s="12" t="s">
        <v>15</v>
      </c>
    </row>
    <row r="9" spans="1:10" x14ac:dyDescent="0.3">
      <c r="A9" s="16" t="s">
        <v>51</v>
      </c>
      <c r="B9" s="12" t="s">
        <v>41</v>
      </c>
      <c r="C9" s="12" t="s">
        <v>4</v>
      </c>
      <c r="D9" s="12">
        <v>6</v>
      </c>
      <c r="E9" s="12">
        <v>10</v>
      </c>
      <c r="F9" s="12">
        <f t="shared" ref="F9" si="2">ROUND(230/(D9*E9),3)</f>
        <v>3.8330000000000002</v>
      </c>
      <c r="G9" s="12">
        <f t="shared" ref="G9" si="3">ROUND(F9*(2/3),3)</f>
        <v>2.5550000000000002</v>
      </c>
      <c r="H9" s="12">
        <v>0.47</v>
      </c>
      <c r="I9" s="12" t="s">
        <v>5</v>
      </c>
      <c r="J9" s="12" t="s">
        <v>15</v>
      </c>
    </row>
    <row r="10" spans="1:10" x14ac:dyDescent="0.3">
      <c r="A10" s="17" t="s">
        <v>84</v>
      </c>
      <c r="B10" s="18"/>
      <c r="C10" s="18"/>
      <c r="D10" s="18"/>
      <c r="E10" s="18"/>
      <c r="F10" s="18"/>
      <c r="G10" s="18"/>
      <c r="H10" s="18"/>
      <c r="I10" s="18"/>
      <c r="J10" s="18"/>
    </row>
    <row r="11" spans="1:10" x14ac:dyDescent="0.3">
      <c r="A11" s="16" t="s">
        <v>52</v>
      </c>
      <c r="B11" s="12" t="s">
        <v>35</v>
      </c>
      <c r="C11" s="12" t="s">
        <v>4</v>
      </c>
      <c r="D11" s="12">
        <v>6</v>
      </c>
      <c r="E11" s="12">
        <v>10</v>
      </c>
      <c r="F11" s="12">
        <f>ROUND(230/(D11*E11),3)</f>
        <v>3.8330000000000002</v>
      </c>
      <c r="G11" s="12">
        <f>ROUND(F11*(2/3),3)</f>
        <v>2.5550000000000002</v>
      </c>
      <c r="H11" s="12">
        <v>0.65</v>
      </c>
      <c r="I11" s="12" t="s">
        <v>5</v>
      </c>
      <c r="J11" s="12" t="s">
        <v>16</v>
      </c>
    </row>
    <row r="12" spans="1:10" x14ac:dyDescent="0.3">
      <c r="A12" s="16" t="s">
        <v>53</v>
      </c>
      <c r="B12" s="12" t="s">
        <v>36</v>
      </c>
      <c r="C12" s="12" t="s">
        <v>4</v>
      </c>
      <c r="D12" s="12">
        <v>6</v>
      </c>
      <c r="E12" s="12">
        <v>10</v>
      </c>
      <c r="F12" s="12">
        <f t="shared" ref="F12:F13" si="4">ROUND(230/(D12*E12),3)</f>
        <v>3.8330000000000002</v>
      </c>
      <c r="G12" s="12">
        <f t="shared" ref="G12:G13" si="5">ROUND(F12*(2/3),3)</f>
        <v>2.5550000000000002</v>
      </c>
      <c r="H12" s="12">
        <v>0.5</v>
      </c>
      <c r="I12" s="12" t="s">
        <v>5</v>
      </c>
      <c r="J12" s="12" t="s">
        <v>16</v>
      </c>
    </row>
    <row r="13" spans="1:10" x14ac:dyDescent="0.3">
      <c r="A13" s="16" t="s">
        <v>54</v>
      </c>
      <c r="B13" s="12" t="s">
        <v>37</v>
      </c>
      <c r="C13" s="12" t="s">
        <v>4</v>
      </c>
      <c r="D13" s="12">
        <v>16</v>
      </c>
      <c r="E13" s="12">
        <v>10</v>
      </c>
      <c r="F13" s="12">
        <f t="shared" si="4"/>
        <v>1.4379999999999999</v>
      </c>
      <c r="G13" s="12">
        <f t="shared" si="5"/>
        <v>0.95899999999999996</v>
      </c>
      <c r="H13" s="12">
        <v>1.25</v>
      </c>
      <c r="I13" s="13" t="s">
        <v>6</v>
      </c>
      <c r="J13" s="12" t="s">
        <v>15</v>
      </c>
    </row>
    <row r="14" spans="1:10" x14ac:dyDescent="0.3">
      <c r="A14" s="17" t="s">
        <v>85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3">
      <c r="A15" s="16" t="s">
        <v>55</v>
      </c>
      <c r="B15" s="12" t="s">
        <v>19</v>
      </c>
      <c r="C15" s="12" t="s">
        <v>4</v>
      </c>
      <c r="D15" s="12">
        <v>16</v>
      </c>
      <c r="E15" s="12">
        <v>10</v>
      </c>
      <c r="F15" s="12">
        <f>ROUND(230/(D15*E15),3)</f>
        <v>1.4379999999999999</v>
      </c>
      <c r="G15" s="12">
        <f>ROUND(F15*(2/3),3)</f>
        <v>0.95899999999999996</v>
      </c>
      <c r="H15" s="12">
        <v>0.03</v>
      </c>
      <c r="I15" s="12" t="s">
        <v>5</v>
      </c>
      <c r="J15" s="12" t="s">
        <v>15</v>
      </c>
    </row>
    <row r="16" spans="1:10" x14ac:dyDescent="0.3">
      <c r="A16" s="16" t="s">
        <v>56</v>
      </c>
      <c r="B16" s="12" t="s">
        <v>20</v>
      </c>
      <c r="C16" s="12" t="s">
        <v>4</v>
      </c>
      <c r="D16" s="12">
        <v>6</v>
      </c>
      <c r="E16" s="12">
        <v>10</v>
      </c>
      <c r="F16" s="12">
        <f t="shared" ref="F16:F18" si="6">ROUND(230/(D16*E16),3)</f>
        <v>3.8330000000000002</v>
      </c>
      <c r="G16" s="12">
        <f t="shared" ref="G16:G18" si="7">ROUND(F16*(2/3),3)</f>
        <v>2.5550000000000002</v>
      </c>
      <c r="H16" s="12">
        <v>0.51</v>
      </c>
      <c r="I16" s="12" t="s">
        <v>5</v>
      </c>
      <c r="J16" s="12" t="s">
        <v>15</v>
      </c>
    </row>
    <row r="17" spans="1:10" x14ac:dyDescent="0.3">
      <c r="A17" s="16" t="s">
        <v>57</v>
      </c>
      <c r="B17" s="12" t="s">
        <v>21</v>
      </c>
      <c r="C17" s="12" t="s">
        <v>4</v>
      </c>
      <c r="D17" s="12">
        <v>6</v>
      </c>
      <c r="E17" s="12">
        <v>10</v>
      </c>
      <c r="F17" s="12">
        <f t="shared" si="6"/>
        <v>3.8330000000000002</v>
      </c>
      <c r="G17" s="12">
        <f t="shared" si="7"/>
        <v>2.5550000000000002</v>
      </c>
      <c r="H17" s="12">
        <v>0.4</v>
      </c>
      <c r="I17" s="12" t="s">
        <v>5</v>
      </c>
      <c r="J17" s="12" t="s">
        <v>15</v>
      </c>
    </row>
    <row r="18" spans="1:10" x14ac:dyDescent="0.3">
      <c r="A18" s="16" t="s">
        <v>58</v>
      </c>
      <c r="B18" s="12" t="s">
        <v>22</v>
      </c>
      <c r="C18" s="12" t="s">
        <v>4</v>
      </c>
      <c r="D18" s="12">
        <v>16</v>
      </c>
      <c r="E18" s="12">
        <v>10</v>
      </c>
      <c r="F18" s="12">
        <f t="shared" si="6"/>
        <v>1.4379999999999999</v>
      </c>
      <c r="G18" s="12">
        <f t="shared" si="7"/>
        <v>0.95899999999999996</v>
      </c>
      <c r="H18" s="12">
        <v>0.14000000000000001</v>
      </c>
      <c r="I18" s="12" t="s">
        <v>5</v>
      </c>
      <c r="J18" s="12" t="s">
        <v>15</v>
      </c>
    </row>
    <row r="19" spans="1:10" x14ac:dyDescent="0.3">
      <c r="A19" s="17" t="s">
        <v>86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3">
      <c r="A20" s="16" t="s">
        <v>59</v>
      </c>
      <c r="B20" s="12" t="s">
        <v>10</v>
      </c>
      <c r="C20" s="12" t="s">
        <v>4</v>
      </c>
      <c r="D20" s="12">
        <v>6</v>
      </c>
      <c r="E20" s="12">
        <v>10</v>
      </c>
      <c r="F20" s="12">
        <f>ROUND(230/(D20*E20),3)</f>
        <v>3.8330000000000002</v>
      </c>
      <c r="G20" s="12">
        <f>ROUND(F20*(2/3),3)</f>
        <v>2.5550000000000002</v>
      </c>
      <c r="H20" s="12">
        <v>0.41</v>
      </c>
      <c r="I20" s="12" t="s">
        <v>5</v>
      </c>
      <c r="J20" s="12" t="s">
        <v>15</v>
      </c>
    </row>
    <row r="21" spans="1:10" x14ac:dyDescent="0.3">
      <c r="A21" s="16" t="s">
        <v>60</v>
      </c>
      <c r="B21" s="12" t="s">
        <v>11</v>
      </c>
      <c r="C21" s="12" t="s">
        <v>4</v>
      </c>
      <c r="D21" s="12">
        <v>6</v>
      </c>
      <c r="E21" s="12">
        <v>10</v>
      </c>
      <c r="F21" s="12">
        <f t="shared" ref="F21:F22" si="8">ROUND(230/(D21*E21),3)</f>
        <v>3.8330000000000002</v>
      </c>
      <c r="G21" s="12">
        <f t="shared" ref="G21:G22" si="9">ROUND(F21*(2/3),3)</f>
        <v>2.5550000000000002</v>
      </c>
      <c r="H21" s="12">
        <v>0.48</v>
      </c>
      <c r="I21" s="12" t="s">
        <v>5</v>
      </c>
      <c r="J21" s="12" t="s">
        <v>15</v>
      </c>
    </row>
    <row r="22" spans="1:10" x14ac:dyDescent="0.3">
      <c r="A22" s="16" t="s">
        <v>61</v>
      </c>
      <c r="B22" s="12" t="s">
        <v>12</v>
      </c>
      <c r="C22" s="12" t="s">
        <v>4</v>
      </c>
      <c r="D22" s="12">
        <v>16</v>
      </c>
      <c r="E22" s="12">
        <v>10</v>
      </c>
      <c r="F22" s="12">
        <f t="shared" si="8"/>
        <v>1.4379999999999999</v>
      </c>
      <c r="G22" s="12">
        <f t="shared" si="9"/>
        <v>0.95899999999999996</v>
      </c>
      <c r="H22" s="12">
        <v>0.09</v>
      </c>
      <c r="I22" s="12" t="s">
        <v>5</v>
      </c>
      <c r="J22" s="12" t="s">
        <v>15</v>
      </c>
    </row>
    <row r="23" spans="1:10" x14ac:dyDescent="0.3">
      <c r="A23" s="17" t="s">
        <v>87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x14ac:dyDescent="0.3">
      <c r="A24" s="16" t="s">
        <v>62</v>
      </c>
      <c r="B24" s="12" t="s">
        <v>13</v>
      </c>
      <c r="C24" s="12" t="s">
        <v>4</v>
      </c>
      <c r="D24" s="12">
        <v>16</v>
      </c>
      <c r="E24" s="12">
        <v>10</v>
      </c>
      <c r="F24" s="12">
        <f>ROUND(230/(D24*E24),3)</f>
        <v>1.4379999999999999</v>
      </c>
      <c r="G24" s="12">
        <f>ROUND(F24*(2/3),3)</f>
        <v>0.95899999999999996</v>
      </c>
      <c r="H24" s="12">
        <v>0.11</v>
      </c>
      <c r="I24" s="12" t="s">
        <v>5</v>
      </c>
      <c r="J24" s="12" t="s">
        <v>15</v>
      </c>
    </row>
    <row r="25" spans="1:10" x14ac:dyDescent="0.3">
      <c r="A25" s="16" t="s">
        <v>63</v>
      </c>
      <c r="B25" s="12" t="s">
        <v>14</v>
      </c>
      <c r="C25" s="12" t="s">
        <v>4</v>
      </c>
      <c r="D25" s="12">
        <v>6</v>
      </c>
      <c r="E25" s="12">
        <v>10</v>
      </c>
      <c r="F25" s="12">
        <f t="shared" ref="F25:F27" si="10">ROUND(230/(D25*E25),3)</f>
        <v>3.8330000000000002</v>
      </c>
      <c r="G25" s="12">
        <f t="shared" ref="G25:G27" si="11">ROUND(F25*(2/3),3)</f>
        <v>2.5550000000000002</v>
      </c>
      <c r="H25" s="12">
        <v>0.56000000000000005</v>
      </c>
      <c r="I25" s="12" t="s">
        <v>5</v>
      </c>
      <c r="J25" s="12" t="s">
        <v>16</v>
      </c>
    </row>
    <row r="26" spans="1:10" x14ac:dyDescent="0.3">
      <c r="A26" s="16" t="s">
        <v>64</v>
      </c>
      <c r="B26" s="12" t="s">
        <v>17</v>
      </c>
      <c r="C26" s="12" t="s">
        <v>4</v>
      </c>
      <c r="D26" s="12">
        <v>6</v>
      </c>
      <c r="E26" s="12">
        <v>10</v>
      </c>
      <c r="F26" s="12">
        <f t="shared" si="10"/>
        <v>3.8330000000000002</v>
      </c>
      <c r="G26" s="12">
        <f t="shared" si="11"/>
        <v>2.5550000000000002</v>
      </c>
      <c r="H26" s="12">
        <v>0.68</v>
      </c>
      <c r="I26" s="12" t="s">
        <v>5</v>
      </c>
      <c r="J26" s="12" t="s">
        <v>15</v>
      </c>
    </row>
    <row r="27" spans="1:10" x14ac:dyDescent="0.3">
      <c r="A27" s="16" t="s">
        <v>65</v>
      </c>
      <c r="B27" s="12" t="s">
        <v>18</v>
      </c>
      <c r="C27" s="12" t="s">
        <v>4</v>
      </c>
      <c r="D27" s="12">
        <v>16</v>
      </c>
      <c r="E27" s="12">
        <v>10</v>
      </c>
      <c r="F27" s="12">
        <f t="shared" si="10"/>
        <v>1.4379999999999999</v>
      </c>
      <c r="G27" s="12">
        <f t="shared" si="11"/>
        <v>0.95899999999999996</v>
      </c>
      <c r="H27" s="12">
        <v>0.14000000000000001</v>
      </c>
      <c r="I27" s="12" t="s">
        <v>5</v>
      </c>
      <c r="J27" s="12" t="s">
        <v>15</v>
      </c>
    </row>
    <row r="28" spans="1:10" x14ac:dyDescent="0.3">
      <c r="A28" s="17" t="s">
        <v>88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3">
      <c r="A29" s="16" t="s">
        <v>66</v>
      </c>
      <c r="B29" s="12" t="s">
        <v>23</v>
      </c>
      <c r="C29" s="12" t="s">
        <v>4</v>
      </c>
      <c r="D29" s="12">
        <v>6</v>
      </c>
      <c r="E29" s="12">
        <v>10</v>
      </c>
      <c r="F29" s="12">
        <f>ROUND(230/(D29*E29),3)</f>
        <v>3.8330000000000002</v>
      </c>
      <c r="G29" s="12">
        <f>ROUND(F29*(2/3),3)</f>
        <v>2.5550000000000002</v>
      </c>
      <c r="H29" s="12">
        <v>0.47</v>
      </c>
      <c r="I29" s="12" t="s">
        <v>5</v>
      </c>
      <c r="J29" s="12" t="s">
        <v>15</v>
      </c>
    </row>
    <row r="30" spans="1:10" x14ac:dyDescent="0.3">
      <c r="A30" s="16" t="s">
        <v>67</v>
      </c>
      <c r="B30" s="12" t="s">
        <v>24</v>
      </c>
      <c r="C30" s="12" t="s">
        <v>4</v>
      </c>
      <c r="D30" s="12">
        <v>6</v>
      </c>
      <c r="E30" s="12">
        <v>10</v>
      </c>
      <c r="F30" s="12">
        <f t="shared" ref="F30" si="12">ROUND(230/(D30*E30),3)</f>
        <v>3.8330000000000002</v>
      </c>
      <c r="G30" s="12">
        <f t="shared" ref="G30" si="13">ROUND(F30*(2/3),3)</f>
        <v>2.5550000000000002</v>
      </c>
      <c r="H30" s="12">
        <v>0.56000000000000005</v>
      </c>
      <c r="I30" s="12" t="s">
        <v>5</v>
      </c>
      <c r="J30" s="12" t="s">
        <v>15</v>
      </c>
    </row>
    <row r="31" spans="1:10" x14ac:dyDescent="0.3">
      <c r="A31" s="17" t="s">
        <v>89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x14ac:dyDescent="0.3">
      <c r="A32" s="16" t="s">
        <v>68</v>
      </c>
      <c r="B32" s="12" t="s">
        <v>25</v>
      </c>
      <c r="C32" s="12" t="s">
        <v>4</v>
      </c>
      <c r="D32" s="12">
        <v>6</v>
      </c>
      <c r="E32" s="12">
        <v>10</v>
      </c>
      <c r="F32" s="12">
        <f>ROUND(230/(D32*E32),3)</f>
        <v>3.8330000000000002</v>
      </c>
      <c r="G32" s="12">
        <f>ROUND(F32*(2/3),3)</f>
        <v>2.5550000000000002</v>
      </c>
      <c r="H32" s="12">
        <v>0.8</v>
      </c>
      <c r="I32" s="12" t="s">
        <v>5</v>
      </c>
      <c r="J32" s="12" t="s">
        <v>16</v>
      </c>
    </row>
    <row r="33" spans="1:10" x14ac:dyDescent="0.3">
      <c r="A33" s="16" t="s">
        <v>69</v>
      </c>
      <c r="B33" s="12" t="s">
        <v>26</v>
      </c>
      <c r="C33" s="12" t="s">
        <v>4</v>
      </c>
      <c r="D33" s="12">
        <v>6</v>
      </c>
      <c r="E33" s="12">
        <v>10</v>
      </c>
      <c r="F33" s="12">
        <f t="shared" ref="F33:F37" si="14">ROUND(230/(D33*E33),3)</f>
        <v>3.8330000000000002</v>
      </c>
      <c r="G33" s="12">
        <f t="shared" ref="G33:G37" si="15">ROUND(F33*(2/3),3)</f>
        <v>2.5550000000000002</v>
      </c>
      <c r="H33" s="12">
        <v>0.46</v>
      </c>
      <c r="I33" s="12" t="s">
        <v>5</v>
      </c>
      <c r="J33" s="12" t="s">
        <v>15</v>
      </c>
    </row>
    <row r="34" spans="1:10" x14ac:dyDescent="0.3">
      <c r="A34" s="16" t="s">
        <v>70</v>
      </c>
      <c r="B34" s="12" t="s">
        <v>27</v>
      </c>
      <c r="C34" s="12" t="s">
        <v>4</v>
      </c>
      <c r="D34" s="12">
        <v>16</v>
      </c>
      <c r="E34" s="12">
        <v>10</v>
      </c>
      <c r="F34" s="12">
        <f t="shared" si="14"/>
        <v>1.4379999999999999</v>
      </c>
      <c r="G34" s="12">
        <f t="shared" si="15"/>
        <v>0.95899999999999996</v>
      </c>
      <c r="H34" s="12">
        <v>0.14000000000000001</v>
      </c>
      <c r="I34" s="12" t="s">
        <v>5</v>
      </c>
      <c r="J34" s="12" t="s">
        <v>15</v>
      </c>
    </row>
    <row r="35" spans="1:10" x14ac:dyDescent="0.3">
      <c r="A35" s="16" t="s">
        <v>71</v>
      </c>
      <c r="B35" s="12" t="s">
        <v>28</v>
      </c>
      <c r="C35" s="12" t="s">
        <v>4</v>
      </c>
      <c r="D35" s="12">
        <v>16</v>
      </c>
      <c r="E35" s="12">
        <v>10</v>
      </c>
      <c r="F35" s="12">
        <f t="shared" si="14"/>
        <v>1.4379999999999999</v>
      </c>
      <c r="G35" s="12">
        <f t="shared" si="15"/>
        <v>0.95899999999999996</v>
      </c>
      <c r="H35" s="12">
        <v>0.34</v>
      </c>
      <c r="I35" s="12" t="s">
        <v>5</v>
      </c>
      <c r="J35" s="12" t="s">
        <v>15</v>
      </c>
    </row>
    <row r="36" spans="1:10" x14ac:dyDescent="0.3">
      <c r="A36" s="16" t="s">
        <v>72</v>
      </c>
      <c r="B36" s="12" t="s">
        <v>29</v>
      </c>
      <c r="C36" s="12" t="s">
        <v>4</v>
      </c>
      <c r="D36" s="12">
        <v>16</v>
      </c>
      <c r="E36" s="12">
        <v>10</v>
      </c>
      <c r="F36" s="12">
        <f t="shared" si="14"/>
        <v>1.4379999999999999</v>
      </c>
      <c r="G36" s="12">
        <f t="shared" si="15"/>
        <v>0.95899999999999996</v>
      </c>
      <c r="H36" s="12">
        <v>1.02</v>
      </c>
      <c r="I36" s="13" t="s">
        <v>6</v>
      </c>
      <c r="J36" s="12" t="s">
        <v>16</v>
      </c>
    </row>
    <row r="37" spans="1:10" x14ac:dyDescent="0.3">
      <c r="A37" s="16" t="s">
        <v>73</v>
      </c>
      <c r="B37" s="12" t="s">
        <v>30</v>
      </c>
      <c r="C37" s="12" t="s">
        <v>4</v>
      </c>
      <c r="D37" s="12">
        <v>16</v>
      </c>
      <c r="E37" s="12">
        <v>10</v>
      </c>
      <c r="F37" s="12">
        <f t="shared" si="14"/>
        <v>1.4379999999999999</v>
      </c>
      <c r="G37" s="12">
        <f t="shared" si="15"/>
        <v>0.95899999999999996</v>
      </c>
      <c r="H37" s="12">
        <v>1.63</v>
      </c>
      <c r="I37" s="13" t="s">
        <v>6</v>
      </c>
      <c r="J37" s="12" t="s">
        <v>15</v>
      </c>
    </row>
    <row r="38" spans="1:10" x14ac:dyDescent="0.3">
      <c r="A38" s="17" t="s">
        <v>90</v>
      </c>
      <c r="B38" s="18"/>
      <c r="C38" s="18"/>
      <c r="D38" s="18"/>
      <c r="E38" s="18"/>
      <c r="F38" s="18"/>
      <c r="G38" s="18"/>
      <c r="H38" s="18"/>
      <c r="I38" s="18"/>
      <c r="J38" s="18"/>
    </row>
    <row r="39" spans="1:10" x14ac:dyDescent="0.3">
      <c r="A39" s="16" t="s">
        <v>74</v>
      </c>
      <c r="B39" s="12" t="s">
        <v>31</v>
      </c>
      <c r="C39" s="12" t="s">
        <v>4</v>
      </c>
      <c r="D39" s="12">
        <v>16</v>
      </c>
      <c r="E39" s="12">
        <v>10</v>
      </c>
      <c r="F39" s="12">
        <f>ROUND(230/(D39*E39),3)</f>
        <v>1.4379999999999999</v>
      </c>
      <c r="G39" s="12">
        <f>ROUND(F39*(2/3),3)</f>
        <v>0.95899999999999996</v>
      </c>
      <c r="H39" s="12">
        <v>0.53</v>
      </c>
      <c r="I39" s="12" t="s">
        <v>5</v>
      </c>
      <c r="J39" s="12" t="s">
        <v>15</v>
      </c>
    </row>
    <row r="40" spans="1:10" x14ac:dyDescent="0.3">
      <c r="A40" s="16" t="s">
        <v>75</v>
      </c>
      <c r="B40" s="12" t="s">
        <v>32</v>
      </c>
      <c r="C40" s="12" t="s">
        <v>4</v>
      </c>
      <c r="D40" s="12">
        <v>6</v>
      </c>
      <c r="E40" s="12">
        <v>10</v>
      </c>
      <c r="F40" s="12">
        <f t="shared" ref="F40:F42" si="16">ROUND(230/(D40*E40),3)</f>
        <v>3.8330000000000002</v>
      </c>
      <c r="G40" s="12">
        <f t="shared" ref="G40:G42" si="17">ROUND(F40*(2/3),3)</f>
        <v>2.5550000000000002</v>
      </c>
      <c r="H40" s="12">
        <v>0.4</v>
      </c>
      <c r="I40" s="12" t="s">
        <v>5</v>
      </c>
      <c r="J40" s="12" t="s">
        <v>15</v>
      </c>
    </row>
    <row r="41" spans="1:10" x14ac:dyDescent="0.3">
      <c r="A41" s="16" t="s">
        <v>76</v>
      </c>
      <c r="B41" s="12" t="s">
        <v>92</v>
      </c>
      <c r="C41" s="12" t="s">
        <v>4</v>
      </c>
      <c r="D41" s="12">
        <v>6</v>
      </c>
      <c r="E41" s="12">
        <v>10</v>
      </c>
      <c r="F41" s="12">
        <f t="shared" si="16"/>
        <v>3.8330000000000002</v>
      </c>
      <c r="G41" s="12">
        <f t="shared" si="17"/>
        <v>2.5550000000000002</v>
      </c>
      <c r="H41" s="12">
        <v>0.6</v>
      </c>
      <c r="I41" s="12" t="s">
        <v>5</v>
      </c>
      <c r="J41" s="12" t="s">
        <v>16</v>
      </c>
    </row>
    <row r="42" spans="1:10" x14ac:dyDescent="0.3">
      <c r="A42" s="16" t="s">
        <v>77</v>
      </c>
      <c r="B42" s="12" t="s">
        <v>33</v>
      </c>
      <c r="C42" s="12" t="s">
        <v>4</v>
      </c>
      <c r="D42" s="12">
        <v>16</v>
      </c>
      <c r="E42" s="12">
        <v>10</v>
      </c>
      <c r="F42" s="12">
        <f t="shared" si="16"/>
        <v>1.4379999999999999</v>
      </c>
      <c r="G42" s="12">
        <f t="shared" si="17"/>
        <v>0.95899999999999996</v>
      </c>
      <c r="H42" s="12">
        <v>0.17</v>
      </c>
      <c r="I42" s="12" t="s">
        <v>5</v>
      </c>
      <c r="J42" s="12" t="s">
        <v>15</v>
      </c>
    </row>
    <row r="43" spans="1:10" x14ac:dyDescent="0.3">
      <c r="A43" s="17" t="s">
        <v>91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x14ac:dyDescent="0.3">
      <c r="A44" s="16" t="s">
        <v>78</v>
      </c>
      <c r="B44" s="12" t="s">
        <v>34</v>
      </c>
      <c r="C44" s="12" t="s">
        <v>4</v>
      </c>
      <c r="D44" s="12">
        <v>16</v>
      </c>
      <c r="E44" s="12">
        <v>10</v>
      </c>
      <c r="F44" s="12">
        <f>ROUND(230/(D44*E44),3)</f>
        <v>1.4379999999999999</v>
      </c>
      <c r="G44" s="12">
        <f>ROUND(F44*(2/3),3)</f>
        <v>0.95899999999999996</v>
      </c>
      <c r="H44" s="12">
        <v>1.17</v>
      </c>
      <c r="I44" s="13" t="s">
        <v>6</v>
      </c>
      <c r="J44" s="12" t="s">
        <v>15</v>
      </c>
    </row>
    <row r="45" spans="1:10" x14ac:dyDescent="0.3">
      <c r="A45" s="16" t="s">
        <v>79</v>
      </c>
      <c r="B45" s="12" t="s">
        <v>42</v>
      </c>
      <c r="C45" s="12" t="s">
        <v>4</v>
      </c>
      <c r="D45" s="12">
        <v>16</v>
      </c>
      <c r="E45" s="12">
        <v>10</v>
      </c>
      <c r="F45" s="12">
        <f t="shared" ref="F45:F47" si="18">ROUND(230/(D45*E45),3)</f>
        <v>1.4379999999999999</v>
      </c>
      <c r="G45" s="12">
        <f t="shared" ref="G45:G47" si="19">ROUND(F45*(2/3),3)</f>
        <v>0.95899999999999996</v>
      </c>
      <c r="H45" s="12">
        <v>2.97</v>
      </c>
      <c r="I45" s="13" t="s">
        <v>6</v>
      </c>
      <c r="J45" s="12" t="s">
        <v>16</v>
      </c>
    </row>
    <row r="46" spans="1:10" x14ac:dyDescent="0.3">
      <c r="A46" s="16" t="s">
        <v>80</v>
      </c>
      <c r="B46" s="12" t="s">
        <v>43</v>
      </c>
      <c r="C46" s="12" t="s">
        <v>4</v>
      </c>
      <c r="D46" s="12">
        <v>40</v>
      </c>
      <c r="E46" s="12">
        <v>10</v>
      </c>
      <c r="F46" s="12">
        <f t="shared" si="18"/>
        <v>0.57499999999999996</v>
      </c>
      <c r="G46" s="12">
        <f t="shared" si="19"/>
        <v>0.38300000000000001</v>
      </c>
      <c r="H46" s="12">
        <v>1.87</v>
      </c>
      <c r="I46" s="13" t="s">
        <v>6</v>
      </c>
      <c r="J46" s="12" t="s">
        <v>16</v>
      </c>
    </row>
    <row r="47" spans="1:10" x14ac:dyDescent="0.3">
      <c r="A47" s="16" t="s">
        <v>81</v>
      </c>
      <c r="B47" s="12" t="s">
        <v>44</v>
      </c>
      <c r="C47" s="12" t="s">
        <v>4</v>
      </c>
      <c r="D47" s="12">
        <v>40</v>
      </c>
      <c r="E47" s="12">
        <v>10</v>
      </c>
      <c r="F47" s="12">
        <f t="shared" si="18"/>
        <v>0.57499999999999996</v>
      </c>
      <c r="G47" s="12">
        <f t="shared" si="19"/>
        <v>0.38300000000000001</v>
      </c>
      <c r="H47" s="12">
        <v>1.69</v>
      </c>
      <c r="I47" s="13" t="s">
        <v>6</v>
      </c>
      <c r="J47" s="12" t="s">
        <v>16</v>
      </c>
    </row>
  </sheetData>
  <mergeCells count="11">
    <mergeCell ref="A28:J28"/>
    <mergeCell ref="A31:J31"/>
    <mergeCell ref="A38:J38"/>
    <mergeCell ref="A43:J43"/>
    <mergeCell ref="A1:J1"/>
    <mergeCell ref="A3:J3"/>
    <mergeCell ref="A7:J7"/>
    <mergeCell ref="A10:J10"/>
    <mergeCell ref="A14:J14"/>
    <mergeCell ref="A19:J19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4154-9ED1-4F23-B3DA-666E5ECA9773}">
  <dimension ref="A1:K64"/>
  <sheetViews>
    <sheetView tabSelected="1" workbookViewId="0">
      <selection activeCell="B34" sqref="B34"/>
    </sheetView>
  </sheetViews>
  <sheetFormatPr defaultRowHeight="14.4" x14ac:dyDescent="0.3"/>
  <cols>
    <col min="1" max="1" width="5.6640625" customWidth="1"/>
    <col min="2" max="2" width="35.33203125" customWidth="1"/>
    <col min="3" max="3" width="14.5546875" customWidth="1"/>
    <col min="4" max="4" width="12" customWidth="1"/>
    <col min="5" max="5" width="13.33203125" customWidth="1"/>
    <col min="6" max="6" width="9.33203125" customWidth="1"/>
  </cols>
  <sheetData>
    <row r="1" spans="1:11" x14ac:dyDescent="0.3">
      <c r="A1" s="26" t="s">
        <v>135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">
      <c r="A2" s="24" t="s">
        <v>93</v>
      </c>
      <c r="B2" s="24" t="s">
        <v>94</v>
      </c>
      <c r="C2" s="11"/>
      <c r="D2" s="24" t="s">
        <v>95</v>
      </c>
      <c r="E2" s="24"/>
      <c r="F2" s="24" t="s">
        <v>96</v>
      </c>
      <c r="G2" s="24"/>
      <c r="H2" s="24" t="s">
        <v>97</v>
      </c>
      <c r="I2" s="24"/>
      <c r="J2" s="24" t="s">
        <v>98</v>
      </c>
      <c r="K2" s="24"/>
    </row>
    <row r="3" spans="1:11" ht="28.8" x14ac:dyDescent="0.3">
      <c r="A3" s="24"/>
      <c r="B3" s="24"/>
      <c r="C3" s="11" t="s">
        <v>99</v>
      </c>
      <c r="D3" s="14" t="s">
        <v>130</v>
      </c>
      <c r="E3" s="14" t="s">
        <v>131</v>
      </c>
      <c r="F3" s="11" t="s">
        <v>100</v>
      </c>
      <c r="G3" s="11" t="s">
        <v>101</v>
      </c>
      <c r="H3" s="11" t="s">
        <v>100</v>
      </c>
      <c r="I3" s="11" t="s">
        <v>101</v>
      </c>
      <c r="J3" s="11" t="s">
        <v>100</v>
      </c>
      <c r="K3" s="11" t="s">
        <v>101</v>
      </c>
    </row>
    <row r="4" spans="1:11" x14ac:dyDescent="0.3">
      <c r="A4" s="12">
        <v>1</v>
      </c>
      <c r="B4" s="22" t="s">
        <v>102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3">
      <c r="A5" s="12">
        <f>A4+1</f>
        <v>2</v>
      </c>
      <c r="B5" s="12" t="s">
        <v>103</v>
      </c>
      <c r="C5" s="12" t="s">
        <v>40</v>
      </c>
      <c r="D5" s="12" t="s">
        <v>104</v>
      </c>
      <c r="E5" s="12">
        <v>30</v>
      </c>
      <c r="F5" s="12">
        <v>17.5</v>
      </c>
      <c r="G5" s="12" t="s">
        <v>105</v>
      </c>
      <c r="H5" s="12">
        <v>24.7</v>
      </c>
      <c r="I5" s="12" t="s">
        <v>105</v>
      </c>
      <c r="J5" s="12">
        <v>17.899999999999999</v>
      </c>
      <c r="K5" s="12" t="s">
        <v>105</v>
      </c>
    </row>
    <row r="6" spans="1:11" x14ac:dyDescent="0.3">
      <c r="A6" s="12">
        <f t="shared" ref="A6:A34" si="0">A5+1</f>
        <v>3</v>
      </c>
      <c r="B6" s="12" t="s">
        <v>106</v>
      </c>
      <c r="C6" s="12" t="s">
        <v>41</v>
      </c>
      <c r="D6" s="12" t="s">
        <v>104</v>
      </c>
      <c r="E6" s="12">
        <v>30</v>
      </c>
      <c r="F6" s="12">
        <v>21.3</v>
      </c>
      <c r="G6" s="12" t="s">
        <v>105</v>
      </c>
      <c r="H6" s="12">
        <v>21.9</v>
      </c>
      <c r="I6" s="12" t="s">
        <v>105</v>
      </c>
      <c r="J6" s="12">
        <v>31.3</v>
      </c>
      <c r="K6" s="12" t="s">
        <v>105</v>
      </c>
    </row>
    <row r="7" spans="1:11" x14ac:dyDescent="0.3">
      <c r="A7" s="12">
        <f t="shared" si="0"/>
        <v>4</v>
      </c>
      <c r="B7" s="22" t="s">
        <v>107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3">
      <c r="A8" s="12">
        <f t="shared" si="0"/>
        <v>5</v>
      </c>
      <c r="B8" s="12" t="s">
        <v>108</v>
      </c>
      <c r="C8" s="12" t="s">
        <v>35</v>
      </c>
      <c r="D8" s="12" t="s">
        <v>104</v>
      </c>
      <c r="E8" s="12">
        <v>30</v>
      </c>
      <c r="F8" s="12">
        <v>30.2</v>
      </c>
      <c r="G8" s="12" t="s">
        <v>105</v>
      </c>
      <c r="H8" s="12">
        <v>17.899999999999999</v>
      </c>
      <c r="I8" s="12" t="s">
        <v>105</v>
      </c>
      <c r="J8" s="12">
        <v>124</v>
      </c>
      <c r="K8" s="12" t="s">
        <v>105</v>
      </c>
    </row>
    <row r="9" spans="1:11" x14ac:dyDescent="0.3">
      <c r="A9" s="12">
        <f t="shared" si="0"/>
        <v>6</v>
      </c>
      <c r="B9" s="12" t="s">
        <v>109</v>
      </c>
      <c r="C9" s="12" t="s">
        <v>36</v>
      </c>
      <c r="D9" s="12" t="s">
        <v>104</v>
      </c>
      <c r="E9" s="12">
        <v>30</v>
      </c>
      <c r="F9" s="12">
        <v>30.6</v>
      </c>
      <c r="G9" s="12" t="s">
        <v>105</v>
      </c>
      <c r="H9" s="12">
        <v>30.9</v>
      </c>
      <c r="I9" s="12" t="s">
        <v>105</v>
      </c>
      <c r="J9" s="12">
        <v>43.1</v>
      </c>
      <c r="K9" s="12" t="s">
        <v>105</v>
      </c>
    </row>
    <row r="10" spans="1:11" x14ac:dyDescent="0.3">
      <c r="A10" s="12">
        <f t="shared" si="0"/>
        <v>7</v>
      </c>
      <c r="B10" s="22" t="s">
        <v>110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3">
      <c r="A11" s="12">
        <f t="shared" si="0"/>
        <v>8</v>
      </c>
      <c r="B11" s="12" t="s">
        <v>111</v>
      </c>
      <c r="C11" s="12" t="s">
        <v>19</v>
      </c>
      <c r="D11" s="12" t="s">
        <v>112</v>
      </c>
      <c r="E11" s="12">
        <v>100</v>
      </c>
      <c r="F11" s="12">
        <v>45.3</v>
      </c>
      <c r="G11" s="12" t="s">
        <v>105</v>
      </c>
      <c r="H11" s="12">
        <v>20.6</v>
      </c>
      <c r="I11" s="12" t="s">
        <v>105</v>
      </c>
      <c r="J11" s="12">
        <v>22.5</v>
      </c>
      <c r="K11" s="12" t="s">
        <v>105</v>
      </c>
    </row>
    <row r="12" spans="1:11" x14ac:dyDescent="0.3">
      <c r="A12" s="12">
        <f t="shared" si="0"/>
        <v>9</v>
      </c>
      <c r="B12" s="12" t="s">
        <v>113</v>
      </c>
      <c r="C12" s="12" t="s">
        <v>20</v>
      </c>
      <c r="D12" s="12" t="s">
        <v>104</v>
      </c>
      <c r="E12" s="12">
        <v>30</v>
      </c>
      <c r="F12" s="12">
        <v>32.5</v>
      </c>
      <c r="G12" s="12" t="s">
        <v>105</v>
      </c>
      <c r="H12" s="12">
        <v>94.9</v>
      </c>
      <c r="I12" s="12" t="s">
        <v>105</v>
      </c>
      <c r="J12" s="12">
        <v>30.9</v>
      </c>
      <c r="K12" s="12" t="s">
        <v>105</v>
      </c>
    </row>
    <row r="13" spans="1:11" x14ac:dyDescent="0.3">
      <c r="A13" s="12">
        <f t="shared" si="0"/>
        <v>10</v>
      </c>
      <c r="B13" s="12" t="s">
        <v>114</v>
      </c>
      <c r="C13" s="12" t="s">
        <v>21</v>
      </c>
      <c r="D13" s="12" t="s">
        <v>104</v>
      </c>
      <c r="E13" s="12">
        <v>30</v>
      </c>
      <c r="F13" s="12">
        <v>28</v>
      </c>
      <c r="G13" s="12" t="s">
        <v>105</v>
      </c>
      <c r="H13" s="12">
        <v>75.2</v>
      </c>
      <c r="I13" s="12" t="s">
        <v>105</v>
      </c>
      <c r="J13" s="12">
        <v>17.600000000000001</v>
      </c>
      <c r="K13" s="12" t="s">
        <v>105</v>
      </c>
    </row>
    <row r="14" spans="1:11" x14ac:dyDescent="0.3">
      <c r="A14" s="12">
        <f t="shared" si="0"/>
        <v>11</v>
      </c>
      <c r="B14" s="12" t="s">
        <v>115</v>
      </c>
      <c r="C14" s="12" t="s">
        <v>22</v>
      </c>
      <c r="D14" s="12" t="s">
        <v>112</v>
      </c>
      <c r="E14" s="12">
        <v>100</v>
      </c>
      <c r="F14" s="12">
        <v>20.399999999999999</v>
      </c>
      <c r="G14" s="12" t="s">
        <v>105</v>
      </c>
      <c r="H14" s="12">
        <v>42.9</v>
      </c>
      <c r="I14" s="12" t="s">
        <v>105</v>
      </c>
      <c r="J14" s="12">
        <v>10.4</v>
      </c>
      <c r="K14" s="12" t="s">
        <v>105</v>
      </c>
    </row>
    <row r="15" spans="1:11" x14ac:dyDescent="0.3">
      <c r="A15" s="12">
        <f t="shared" si="0"/>
        <v>12</v>
      </c>
      <c r="B15" s="22" t="s">
        <v>116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3">
      <c r="A16" s="12">
        <f t="shared" si="0"/>
        <v>13</v>
      </c>
      <c r="B16" s="12" t="s">
        <v>117</v>
      </c>
      <c r="C16" s="12" t="s">
        <v>10</v>
      </c>
      <c r="D16" s="12" t="s">
        <v>104</v>
      </c>
      <c r="E16" s="12">
        <v>30</v>
      </c>
      <c r="F16" s="12">
        <v>11.5</v>
      </c>
      <c r="G16" s="12" t="s">
        <v>105</v>
      </c>
      <c r="H16" s="12">
        <v>118</v>
      </c>
      <c r="I16" s="12" t="s">
        <v>105</v>
      </c>
      <c r="J16" s="12">
        <v>31.4</v>
      </c>
      <c r="K16" s="12" t="s">
        <v>105</v>
      </c>
    </row>
    <row r="17" spans="1:11" x14ac:dyDescent="0.3">
      <c r="A17" s="12">
        <f t="shared" si="0"/>
        <v>14</v>
      </c>
      <c r="B17" s="12" t="s">
        <v>136</v>
      </c>
      <c r="C17" s="12" t="s">
        <v>11</v>
      </c>
      <c r="D17" s="12" t="s">
        <v>104</v>
      </c>
      <c r="E17" s="12">
        <v>30</v>
      </c>
      <c r="F17" s="12">
        <v>71.7</v>
      </c>
      <c r="G17" s="12" t="s">
        <v>105</v>
      </c>
      <c r="H17" s="12">
        <v>127.6</v>
      </c>
      <c r="I17" s="12" t="s">
        <v>105</v>
      </c>
      <c r="J17" s="12">
        <v>78.2</v>
      </c>
      <c r="K17" s="12" t="s">
        <v>105</v>
      </c>
    </row>
    <row r="18" spans="1:11" x14ac:dyDescent="0.3">
      <c r="A18" s="12">
        <f t="shared" si="0"/>
        <v>15</v>
      </c>
      <c r="B18" s="12" t="s">
        <v>118</v>
      </c>
      <c r="C18" s="12" t="s">
        <v>12</v>
      </c>
      <c r="D18" s="12" t="s">
        <v>112</v>
      </c>
      <c r="E18" s="12">
        <v>100</v>
      </c>
      <c r="F18" s="12">
        <v>30.2</v>
      </c>
      <c r="G18" s="12" t="s">
        <v>105</v>
      </c>
      <c r="H18" s="12">
        <v>26.8</v>
      </c>
      <c r="I18" s="12" t="s">
        <v>105</v>
      </c>
      <c r="J18" s="12">
        <v>46.9</v>
      </c>
      <c r="K18" s="12" t="s">
        <v>105</v>
      </c>
    </row>
    <row r="19" spans="1:11" x14ac:dyDescent="0.3">
      <c r="A19" s="12">
        <f t="shared" si="0"/>
        <v>16</v>
      </c>
      <c r="B19" s="22" t="s">
        <v>119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x14ac:dyDescent="0.3">
      <c r="A20" s="12">
        <f t="shared" si="0"/>
        <v>17</v>
      </c>
      <c r="B20" s="12" t="s">
        <v>120</v>
      </c>
      <c r="C20" s="12" t="s">
        <v>13</v>
      </c>
      <c r="D20" s="12" t="s">
        <v>112</v>
      </c>
      <c r="E20" s="12">
        <v>100</v>
      </c>
      <c r="F20" s="12">
        <v>9.9</v>
      </c>
      <c r="G20" s="12" t="s">
        <v>105</v>
      </c>
      <c r="H20" s="12">
        <v>45.6</v>
      </c>
      <c r="I20" s="12" t="s">
        <v>105</v>
      </c>
      <c r="J20" s="12">
        <v>30.5</v>
      </c>
      <c r="K20" s="12" t="s">
        <v>105</v>
      </c>
    </row>
    <row r="21" spans="1:11" x14ac:dyDescent="0.3">
      <c r="A21" s="12">
        <f t="shared" si="0"/>
        <v>18</v>
      </c>
      <c r="B21" s="12" t="s">
        <v>137</v>
      </c>
      <c r="C21" s="12" t="s">
        <v>14</v>
      </c>
      <c r="D21" s="12" t="s">
        <v>104</v>
      </c>
      <c r="E21" s="12">
        <v>30</v>
      </c>
      <c r="F21" s="12">
        <v>33.799999999999997</v>
      </c>
      <c r="G21" s="12" t="s">
        <v>105</v>
      </c>
      <c r="H21" s="12">
        <v>32</v>
      </c>
      <c r="I21" s="12" t="s">
        <v>105</v>
      </c>
      <c r="J21" s="12">
        <v>31</v>
      </c>
      <c r="K21" s="12" t="s">
        <v>105</v>
      </c>
    </row>
    <row r="22" spans="1:11" x14ac:dyDescent="0.3">
      <c r="A22" s="12">
        <f t="shared" si="0"/>
        <v>19</v>
      </c>
      <c r="B22" s="12" t="s">
        <v>138</v>
      </c>
      <c r="C22" s="12" t="s">
        <v>17</v>
      </c>
      <c r="D22" s="12" t="s">
        <v>104</v>
      </c>
      <c r="E22" s="12">
        <v>30</v>
      </c>
      <c r="F22" s="12" t="s">
        <v>121</v>
      </c>
      <c r="G22" s="13" t="s">
        <v>122</v>
      </c>
      <c r="H22" s="12" t="s">
        <v>121</v>
      </c>
      <c r="I22" s="13" t="s">
        <v>122</v>
      </c>
      <c r="J22" s="12">
        <v>69.3</v>
      </c>
      <c r="K22" s="12" t="s">
        <v>105</v>
      </c>
    </row>
    <row r="23" spans="1:11" x14ac:dyDescent="0.3">
      <c r="A23" s="12">
        <f t="shared" si="0"/>
        <v>20</v>
      </c>
      <c r="B23" s="12" t="s">
        <v>123</v>
      </c>
      <c r="C23" s="12" t="s">
        <v>18</v>
      </c>
      <c r="D23" s="12" t="s">
        <v>112</v>
      </c>
      <c r="E23" s="12">
        <v>100</v>
      </c>
      <c r="F23" s="12" t="s">
        <v>121</v>
      </c>
      <c r="G23" s="13" t="s">
        <v>122</v>
      </c>
      <c r="H23" s="12">
        <v>17.8</v>
      </c>
      <c r="I23" s="12" t="s">
        <v>105</v>
      </c>
      <c r="J23" s="12">
        <v>17.8</v>
      </c>
      <c r="K23" s="12" t="s">
        <v>105</v>
      </c>
    </row>
    <row r="24" spans="1:11" x14ac:dyDescent="0.3">
      <c r="A24" s="12">
        <f t="shared" si="0"/>
        <v>21</v>
      </c>
      <c r="B24" s="22" t="s">
        <v>124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3">
      <c r="A25" s="12">
        <f t="shared" si="0"/>
        <v>22</v>
      </c>
      <c r="B25" s="12" t="s">
        <v>139</v>
      </c>
      <c r="C25" s="12" t="s">
        <v>23</v>
      </c>
      <c r="D25" s="12" t="s">
        <v>104</v>
      </c>
      <c r="E25" s="12">
        <v>30</v>
      </c>
      <c r="F25" s="12">
        <v>25.7</v>
      </c>
      <c r="G25" s="12" t="s">
        <v>105</v>
      </c>
      <c r="H25" s="12">
        <v>32.9</v>
      </c>
      <c r="I25" s="12" t="s">
        <v>105</v>
      </c>
      <c r="J25" s="12">
        <v>31.2</v>
      </c>
      <c r="K25" s="12" t="s">
        <v>105</v>
      </c>
    </row>
    <row r="26" spans="1:11" x14ac:dyDescent="0.3">
      <c r="A26" s="12">
        <f t="shared" si="0"/>
        <v>23</v>
      </c>
      <c r="B26" s="12" t="s">
        <v>125</v>
      </c>
      <c r="C26" s="12" t="s">
        <v>24</v>
      </c>
      <c r="D26" s="12" t="s">
        <v>104</v>
      </c>
      <c r="E26" s="12">
        <v>30</v>
      </c>
      <c r="F26" s="12">
        <v>31</v>
      </c>
      <c r="G26" s="12" t="s">
        <v>105</v>
      </c>
      <c r="H26" s="12">
        <v>31.6</v>
      </c>
      <c r="I26" s="12" t="s">
        <v>105</v>
      </c>
      <c r="J26" s="12">
        <v>30.9</v>
      </c>
      <c r="K26" s="12" t="s">
        <v>105</v>
      </c>
    </row>
    <row r="27" spans="1:11" x14ac:dyDescent="0.3">
      <c r="A27" s="12">
        <f t="shared" si="0"/>
        <v>24</v>
      </c>
      <c r="B27" s="22" t="s">
        <v>126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">
      <c r="A28" s="12">
        <f t="shared" si="0"/>
        <v>25</v>
      </c>
      <c r="B28" s="12" t="s">
        <v>127</v>
      </c>
      <c r="C28" s="12" t="s">
        <v>25</v>
      </c>
      <c r="D28" s="12" t="s">
        <v>104</v>
      </c>
      <c r="E28" s="12">
        <v>30</v>
      </c>
      <c r="F28" s="12">
        <v>31.1</v>
      </c>
      <c r="G28" s="12" t="s">
        <v>105</v>
      </c>
      <c r="H28" s="12">
        <v>31.4</v>
      </c>
      <c r="I28" s="12" t="s">
        <v>105</v>
      </c>
      <c r="J28" s="12">
        <v>31.1</v>
      </c>
      <c r="K28" s="12" t="s">
        <v>105</v>
      </c>
    </row>
    <row r="29" spans="1:11" x14ac:dyDescent="0.3">
      <c r="A29" s="12">
        <f t="shared" si="0"/>
        <v>26</v>
      </c>
      <c r="B29" s="12" t="s">
        <v>140</v>
      </c>
      <c r="C29" s="12" t="s">
        <v>26</v>
      </c>
      <c r="D29" s="12" t="s">
        <v>104</v>
      </c>
      <c r="E29" s="12">
        <v>30</v>
      </c>
      <c r="F29" s="12">
        <v>56.8</v>
      </c>
      <c r="G29" s="12" t="s">
        <v>105</v>
      </c>
      <c r="H29" s="12">
        <v>11.4</v>
      </c>
      <c r="I29" s="12" t="s">
        <v>105</v>
      </c>
      <c r="J29" s="12">
        <v>31</v>
      </c>
      <c r="K29" s="12" t="s">
        <v>105</v>
      </c>
    </row>
    <row r="30" spans="1:11" x14ac:dyDescent="0.3">
      <c r="A30" s="12">
        <f t="shared" si="0"/>
        <v>27</v>
      </c>
      <c r="B30" s="12" t="s">
        <v>128</v>
      </c>
      <c r="C30" s="12" t="s">
        <v>27</v>
      </c>
      <c r="D30" s="12" t="s">
        <v>112</v>
      </c>
      <c r="E30" s="12">
        <v>100</v>
      </c>
      <c r="F30" s="12">
        <v>10.199999999999999</v>
      </c>
      <c r="G30" s="12" t="s">
        <v>105</v>
      </c>
      <c r="H30" s="12">
        <v>12.8</v>
      </c>
      <c r="I30" s="12" t="s">
        <v>105</v>
      </c>
      <c r="J30" s="12">
        <v>30.4</v>
      </c>
      <c r="K30" s="12" t="s">
        <v>105</v>
      </c>
    </row>
    <row r="31" spans="1:11" x14ac:dyDescent="0.3">
      <c r="A31" s="12">
        <f t="shared" si="0"/>
        <v>28</v>
      </c>
      <c r="B31" s="22" t="s">
        <v>129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">
      <c r="A32" s="12">
        <f t="shared" si="0"/>
        <v>29</v>
      </c>
      <c r="B32" s="12" t="s">
        <v>141</v>
      </c>
      <c r="C32" s="12" t="s">
        <v>32</v>
      </c>
      <c r="D32" s="12" t="s">
        <v>104</v>
      </c>
      <c r="E32" s="12">
        <v>30</v>
      </c>
      <c r="F32" s="12" t="s">
        <v>121</v>
      </c>
      <c r="G32" s="13" t="s">
        <v>122</v>
      </c>
      <c r="H32" s="12">
        <v>82.7</v>
      </c>
      <c r="I32" s="12" t="s">
        <v>105</v>
      </c>
      <c r="J32" s="12">
        <v>31.2</v>
      </c>
      <c r="K32" s="12" t="s">
        <v>105</v>
      </c>
    </row>
    <row r="33" spans="1:11" x14ac:dyDescent="0.3">
      <c r="A33" s="12">
        <f t="shared" si="0"/>
        <v>30</v>
      </c>
      <c r="B33" s="12" t="s">
        <v>142</v>
      </c>
      <c r="C33" s="12" t="s">
        <v>92</v>
      </c>
      <c r="D33" s="12" t="s">
        <v>104</v>
      </c>
      <c r="E33" s="12">
        <v>30</v>
      </c>
      <c r="F33" s="12">
        <v>51.2</v>
      </c>
      <c r="G33" s="12" t="s">
        <v>105</v>
      </c>
      <c r="H33" s="12">
        <v>30.8</v>
      </c>
      <c r="I33" s="12" t="s">
        <v>105</v>
      </c>
      <c r="J33" s="12">
        <v>30.4</v>
      </c>
      <c r="K33" s="12" t="s">
        <v>105</v>
      </c>
    </row>
    <row r="34" spans="1:11" x14ac:dyDescent="0.3">
      <c r="A34" s="12">
        <f t="shared" si="0"/>
        <v>31</v>
      </c>
      <c r="B34" s="12" t="s">
        <v>143</v>
      </c>
      <c r="C34" s="12" t="s">
        <v>33</v>
      </c>
      <c r="D34" s="12" t="s">
        <v>112</v>
      </c>
      <c r="E34" s="12">
        <v>100</v>
      </c>
      <c r="F34" s="12">
        <v>10.3</v>
      </c>
      <c r="G34" s="12" t="s">
        <v>105</v>
      </c>
      <c r="H34" s="12">
        <v>41.4</v>
      </c>
      <c r="I34" s="12" t="s">
        <v>105</v>
      </c>
      <c r="J34" s="12">
        <v>30.1</v>
      </c>
      <c r="K34" s="12" t="s">
        <v>105</v>
      </c>
    </row>
    <row r="35" spans="1:11" x14ac:dyDescent="0.3">
      <c r="A35" s="3"/>
      <c r="B35" s="4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3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thickBot="1" x14ac:dyDescent="0.35">
      <c r="A37" s="2"/>
      <c r="B37" s="7"/>
      <c r="C37" s="1"/>
      <c r="D37" s="1"/>
      <c r="E37" s="1"/>
      <c r="F37" s="1"/>
      <c r="G37" s="1"/>
      <c r="H37" s="1"/>
      <c r="I37" s="1"/>
      <c r="J37" s="1"/>
      <c r="K37" s="1"/>
    </row>
    <row r="38" spans="1:11" ht="15" thickBot="1" x14ac:dyDescent="0.35">
      <c r="A38" s="8"/>
      <c r="B38" s="9"/>
      <c r="C38" s="10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</sheetData>
  <mergeCells count="15">
    <mergeCell ref="J2:K2"/>
    <mergeCell ref="A1:K1"/>
    <mergeCell ref="A2:A3"/>
    <mergeCell ref="B2:B3"/>
    <mergeCell ref="D2:E2"/>
    <mergeCell ref="F2:G2"/>
    <mergeCell ref="H2:I2"/>
    <mergeCell ref="B27:K27"/>
    <mergeCell ref="B31:K31"/>
    <mergeCell ref="B4:K4"/>
    <mergeCell ref="B7:K7"/>
    <mergeCell ref="B10:K10"/>
    <mergeCell ref="B15:K15"/>
    <mergeCell ref="B19:K19"/>
    <mergeCell ref="B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 IMP</vt:lpstr>
      <vt:lpstr>RCBO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Admin-Foretec Electric</dc:creator>
  <cp:lastModifiedBy>shiyam sundar</cp:lastModifiedBy>
  <dcterms:created xsi:type="dcterms:W3CDTF">2025-01-30T04:20:18Z</dcterms:created>
  <dcterms:modified xsi:type="dcterms:W3CDTF">2025-02-03T04:58:18Z</dcterms:modified>
</cp:coreProperties>
</file>